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licework/Downloads/TEMdroid-main/Result/"/>
    </mc:Choice>
  </mc:AlternateContent>
  <xr:revisionPtr revIDLastSave="0" documentId="13_ncr:1_{19C1B5BB-BF60-D542-A8C9-21A3018A1BA1}" xr6:coauthVersionLast="47" xr6:coauthVersionMax="47" xr10:uidLastSave="{00000000-0000-0000-0000-000000000000}"/>
  <bookViews>
    <workbookView xWindow="0" yWindow="500" windowWidth="28800" windowHeight="16360" activeTab="3" xr2:uid="{00000000-000D-0000-FFFF-FFFF00000000}"/>
  </bookViews>
  <sheets>
    <sheet name="Sheet1" sheetId="2" r:id="rId1"/>
    <sheet name="Sheet2" sheetId="3" r:id="rId2"/>
    <sheet name="Sheet3" sheetId="4" r:id="rId3"/>
    <sheet name="Sheet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1" roundtripDataChecksum="SxM7/r71/GVCUa53Z7cR2GQcxeIOuAGqmxrSsXFAApI="/>
    </ext>
  </extLst>
</workbook>
</file>

<file path=xl/calcChain.xml><?xml version="1.0" encoding="utf-8"?>
<calcChain xmlns="http://schemas.openxmlformats.org/spreadsheetml/2006/main">
  <c r="C24" i="2" l="1"/>
  <c r="C23" i="2"/>
  <c r="C22" i="2"/>
  <c r="C21" i="2"/>
  <c r="C20" i="2"/>
  <c r="C19" i="2"/>
  <c r="C18" i="2"/>
  <c r="C16" i="2"/>
  <c r="C15" i="2"/>
  <c r="C14" i="2"/>
  <c r="C13" i="2"/>
  <c r="C12" i="2"/>
  <c r="C11" i="2"/>
  <c r="C10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<sst xmlns="http://schemas.openxmlformats.org/spreadsheetml/2006/main" count="81" uniqueCount="48">
  <si>
    <t>Craftdroid</t>
  </si>
  <si>
    <t>Category</t>
  </si>
  <si>
    <t>Browser</t>
  </si>
  <si>
    <t>Shopping</t>
  </si>
  <si>
    <t>Mail</t>
  </si>
  <si>
    <t>Calculator</t>
  </si>
  <si>
    <t>Total</t>
  </si>
  <si>
    <t>Approach</t>
  </si>
  <si>
    <t>Top1</t>
  </si>
  <si>
    <t>MRR</t>
  </si>
  <si>
    <t>SemFinder</t>
  </si>
  <si>
    <t>Expense</t>
  </si>
  <si>
    <t>Note</t>
  </si>
  <si>
    <t xml:space="preserve">To-Do </t>
  </si>
  <si>
    <t>ATM</t>
  </si>
  <si>
    <t>Usefulness app</t>
  </si>
  <si>
    <t>App Name</t>
  </si>
  <si>
    <t>Version</t>
  </si>
  <si>
    <t>Size</t>
  </si>
  <si>
    <t>Downloads</t>
  </si>
  <si>
    <t>Internet Web Browser</t>
  </si>
  <si>
    <t>20.11.22.29</t>
  </si>
  <si>
    <t>5M</t>
  </si>
  <si>
    <t>5K+</t>
  </si>
  <si>
    <t>To-do</t>
  </si>
  <si>
    <t>Done-A Dead Simple Checklist</t>
  </si>
  <si>
    <r>
      <rPr>
        <sz val="12"/>
        <color theme="1"/>
        <rFont val="Times New Roman"/>
        <family val="1"/>
      </rPr>
      <t>1</t>
    </r>
    <r>
      <rPr>
        <sz val="12"/>
        <color theme="1"/>
        <rFont val="等线"/>
        <family val="4"/>
        <charset val="134"/>
      </rPr>
      <t>、</t>
    </r>
    <r>
      <rPr>
        <sz val="12"/>
        <color theme="1"/>
        <rFont val="Times New Roman"/>
        <family val="1"/>
      </rPr>
      <t>0</t>
    </r>
  </si>
  <si>
    <t>1.6M</t>
  </si>
  <si>
    <t>50K+</t>
  </si>
  <si>
    <t>5miles</t>
  </si>
  <si>
    <t>8.4.0</t>
  </si>
  <si>
    <t>25.4M</t>
  </si>
  <si>
    <t>10M+</t>
  </si>
  <si>
    <t>Pro Mail</t>
  </si>
  <si>
    <t>14.64.0.41912</t>
  </si>
  <si>
    <t>98.2M</t>
  </si>
  <si>
    <t>1M+</t>
  </si>
  <si>
    <t>Tip Caculator</t>
  </si>
  <si>
    <t>2.6.2</t>
  </si>
  <si>
    <t>4.3M</t>
  </si>
  <si>
    <t>TEM_RoBERTa</t>
  </si>
  <si>
    <t>TEM_DistilBERT</t>
  </si>
  <si>
    <t>Shopping-list</t>
  </si>
  <si>
    <t>Text_length</t>
  </si>
  <si>
    <t>Widget_num</t>
  </si>
  <si>
    <t>Ave_top1</t>
  </si>
  <si>
    <t>Ave_mrr</t>
  </si>
  <si>
    <t>Shopping-list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</si>
</sst>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scheme val="minor"/>
    </font>
    <font>
      <sz val="12"/>
      <color theme="1"/>
      <name val="Times New Roman"/>
      <family val="1"/>
    </font>
    <font>
      <sz val="12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等线"/>
      <family val="4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 applyAlignment="1">
      <alignment vertical="center"/>
    </xf>
    <xf numFmtId="0" fontId="1" fillId="0" borderId="4" xfId="0" applyFont="1" applyBorder="1" applyAlignment="1">
      <alignment vertical="center"/>
    </xf>
    <xf numFmtId="9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9" fontId="1" fillId="0" borderId="0" xfId="0" applyNumberFormat="1" applyFont="1" applyAlignment="1">
      <alignment horizontal="center" vertical="center"/>
    </xf>
    <xf numFmtId="9" fontId="1" fillId="0" borderId="11" xfId="0" applyNumberFormat="1" applyFont="1" applyBorder="1" applyAlignment="1">
      <alignment horizontal="center" vertical="center"/>
    </xf>
    <xf numFmtId="9" fontId="3" fillId="0" borderId="1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9" fontId="3" fillId="0" borderId="6" xfId="0" applyNumberFormat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1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9" fontId="1" fillId="0" borderId="14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1" fillId="0" borderId="15" xfId="0" applyNumberFormat="1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1" fillId="0" borderId="7" xfId="0" applyNumberFormat="1" applyFont="1" applyBorder="1" applyAlignment="1">
      <alignment vertical="center"/>
    </xf>
    <xf numFmtId="9" fontId="1" fillId="0" borderId="10" xfId="0" applyNumberFormat="1" applyFont="1" applyBorder="1" applyAlignment="1">
      <alignment vertical="center"/>
    </xf>
    <xf numFmtId="9" fontId="1" fillId="0" borderId="13" xfId="0" applyNumberFormat="1" applyFont="1" applyBorder="1" applyAlignment="1">
      <alignment horizontal="center" vertical="center"/>
    </xf>
    <xf numFmtId="9" fontId="1" fillId="0" borderId="10" xfId="0" applyNumberFormat="1" applyFont="1" applyBorder="1" applyAlignment="1">
      <alignment horizontal="center" vertical="center"/>
    </xf>
    <xf numFmtId="9" fontId="5" fillId="0" borderId="1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vertical="center"/>
    </xf>
    <xf numFmtId="9" fontId="1" fillId="0" borderId="12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8" zoomScale="165" workbookViewId="0">
      <selection activeCell="B20" sqref="B20"/>
    </sheetView>
  </sheetViews>
  <sheetFormatPr baseColWidth="10" defaultColWidth="11.1640625" defaultRowHeight="15" customHeight="1"/>
  <cols>
    <col min="1" max="26" width="8.33203125" customWidth="1"/>
  </cols>
  <sheetData>
    <row r="1" spans="1:4" ht="15.75" customHeight="1">
      <c r="A1" s="7" t="s">
        <v>7</v>
      </c>
      <c r="B1" s="8" t="s">
        <v>1</v>
      </c>
      <c r="C1" s="9" t="s">
        <v>8</v>
      </c>
      <c r="D1" s="9" t="s">
        <v>9</v>
      </c>
    </row>
    <row r="2" spans="1:4" ht="15.75" customHeight="1">
      <c r="A2" s="44" t="s">
        <v>10</v>
      </c>
      <c r="B2" s="10" t="s">
        <v>11</v>
      </c>
      <c r="C2" s="2">
        <f>21/56</f>
        <v>0.375</v>
      </c>
      <c r="D2" s="2">
        <v>0.57999999999999996</v>
      </c>
    </row>
    <row r="3" spans="1:4" ht="15.75" customHeight="1">
      <c r="A3" s="45"/>
      <c r="B3" s="11" t="s">
        <v>12</v>
      </c>
      <c r="C3" s="4">
        <f>13/20</f>
        <v>0.65</v>
      </c>
      <c r="D3" s="4">
        <v>0.75</v>
      </c>
    </row>
    <row r="4" spans="1:4" ht="15.75" customHeight="1">
      <c r="A4" s="45"/>
      <c r="B4" s="11" t="s">
        <v>47</v>
      </c>
      <c r="C4" s="4">
        <f>19/40</f>
        <v>0.47499999999999998</v>
      </c>
      <c r="D4" s="4">
        <v>0.67</v>
      </c>
    </row>
    <row r="5" spans="1:4" ht="15.75" customHeight="1">
      <c r="A5" s="45"/>
      <c r="B5" s="11" t="s">
        <v>2</v>
      </c>
      <c r="C5" s="4">
        <f>25/33</f>
        <v>0.75757575757575757</v>
      </c>
      <c r="D5" s="4">
        <v>0.87</v>
      </c>
    </row>
    <row r="6" spans="1:4" ht="15.75" customHeight="1">
      <c r="A6" s="45"/>
      <c r="B6" s="11" t="s">
        <v>13</v>
      </c>
      <c r="C6" s="4">
        <f>52/70</f>
        <v>0.74285714285714288</v>
      </c>
      <c r="D6" s="4">
        <v>0.85</v>
      </c>
    </row>
    <row r="7" spans="1:4" ht="15.75" customHeight="1">
      <c r="A7" s="45"/>
      <c r="B7" s="11" t="s">
        <v>4</v>
      </c>
      <c r="C7" s="4">
        <f>9/10</f>
        <v>0.9</v>
      </c>
      <c r="D7" s="4">
        <v>0.97</v>
      </c>
    </row>
    <row r="8" spans="1:4" ht="15.75" customHeight="1">
      <c r="A8" s="45"/>
      <c r="B8" s="12" t="s">
        <v>5</v>
      </c>
      <c r="C8" s="5">
        <f>54/66</f>
        <v>0.81818181818181823</v>
      </c>
      <c r="D8" s="5">
        <v>0.91</v>
      </c>
    </row>
    <row r="9" spans="1:4" ht="15.75" customHeight="1">
      <c r="A9" s="46"/>
      <c r="B9" s="13" t="s">
        <v>6</v>
      </c>
      <c r="C9" s="14">
        <v>0.6542</v>
      </c>
      <c r="D9" s="14">
        <v>0.78808999999999996</v>
      </c>
    </row>
    <row r="10" spans="1:4" ht="15.75" customHeight="1">
      <c r="A10" s="44" t="s">
        <v>14</v>
      </c>
      <c r="B10" s="10" t="s">
        <v>11</v>
      </c>
      <c r="C10" s="2">
        <f>13/56</f>
        <v>0.23214285714285715</v>
      </c>
      <c r="D10" s="2">
        <v>0.49</v>
      </c>
    </row>
    <row r="11" spans="1:4" ht="15.75" customHeight="1">
      <c r="A11" s="45"/>
      <c r="B11" s="11" t="s">
        <v>12</v>
      </c>
      <c r="C11" s="4">
        <f>8/20</f>
        <v>0.4</v>
      </c>
      <c r="D11" s="4">
        <v>0.62</v>
      </c>
    </row>
    <row r="12" spans="1:4" ht="15.75" customHeight="1">
      <c r="A12" s="45"/>
      <c r="B12" s="11" t="s">
        <v>47</v>
      </c>
      <c r="C12" s="4">
        <f>14/40</f>
        <v>0.35</v>
      </c>
      <c r="D12" s="4">
        <v>0.57999999999999996</v>
      </c>
    </row>
    <row r="13" spans="1:4" ht="15.75" customHeight="1">
      <c r="A13" s="45"/>
      <c r="B13" s="11" t="s">
        <v>2</v>
      </c>
      <c r="C13" s="4">
        <f>18/33</f>
        <v>0.54545454545454541</v>
      </c>
      <c r="D13" s="4">
        <v>0.77</v>
      </c>
    </row>
    <row r="14" spans="1:4" ht="15.75" customHeight="1">
      <c r="A14" s="45"/>
      <c r="B14" s="11" t="s">
        <v>13</v>
      </c>
      <c r="C14" s="4">
        <f>43/70</f>
        <v>0.61428571428571432</v>
      </c>
      <c r="D14" s="4">
        <v>0.78</v>
      </c>
    </row>
    <row r="15" spans="1:4" ht="15.75" customHeight="1">
      <c r="A15" s="45"/>
      <c r="B15" s="11" t="s">
        <v>4</v>
      </c>
      <c r="C15" s="4">
        <f>7/10</f>
        <v>0.7</v>
      </c>
      <c r="D15" s="4">
        <v>0.9</v>
      </c>
    </row>
    <row r="16" spans="1:4" ht="15.75" customHeight="1">
      <c r="A16" s="45"/>
      <c r="B16" s="12" t="s">
        <v>5</v>
      </c>
      <c r="C16" s="5">
        <f>31/66</f>
        <v>0.46969696969696972</v>
      </c>
      <c r="D16" s="5">
        <v>0.71</v>
      </c>
    </row>
    <row r="17" spans="1:4" ht="15.75" customHeight="1">
      <c r="A17" s="46"/>
      <c r="B17" s="13" t="s">
        <v>6</v>
      </c>
      <c r="C17" s="15">
        <v>0.45419999999999999</v>
      </c>
      <c r="D17" s="15">
        <v>0.67390000000000005</v>
      </c>
    </row>
    <row r="18" spans="1:4" ht="15.75" customHeight="1">
      <c r="A18" s="44" t="s">
        <v>0</v>
      </c>
      <c r="B18" s="10" t="s">
        <v>11</v>
      </c>
      <c r="C18" s="2">
        <f>8/56</f>
        <v>0.14285714285714285</v>
      </c>
      <c r="D18" s="2">
        <v>0.4</v>
      </c>
    </row>
    <row r="19" spans="1:4" ht="15.75" customHeight="1">
      <c r="A19" s="45"/>
      <c r="B19" s="11" t="s">
        <v>12</v>
      </c>
      <c r="C19" s="4">
        <f>8/20</f>
        <v>0.4</v>
      </c>
      <c r="D19" s="4">
        <v>0.64</v>
      </c>
    </row>
    <row r="20" spans="1:4" ht="15.75" customHeight="1">
      <c r="A20" s="45"/>
      <c r="B20" s="11" t="s">
        <v>47</v>
      </c>
      <c r="C20" s="4">
        <f>13/40</f>
        <v>0.32500000000000001</v>
      </c>
      <c r="D20" s="4">
        <v>0.51</v>
      </c>
    </row>
    <row r="21" spans="1:4" ht="15.75" customHeight="1">
      <c r="A21" s="45"/>
      <c r="B21" s="11" t="s">
        <v>2</v>
      </c>
      <c r="C21" s="4">
        <f>25/33</f>
        <v>0.75757575757575757</v>
      </c>
      <c r="D21" s="4">
        <v>0.87</v>
      </c>
    </row>
    <row r="22" spans="1:4" ht="15.75" customHeight="1">
      <c r="A22" s="45"/>
      <c r="B22" s="11" t="s">
        <v>13</v>
      </c>
      <c r="C22" s="4">
        <f>52/70</f>
        <v>0.74285714285714288</v>
      </c>
      <c r="D22" s="4">
        <v>0.85</v>
      </c>
    </row>
    <row r="23" spans="1:4" ht="15.75" customHeight="1">
      <c r="A23" s="45"/>
      <c r="B23" s="11" t="s">
        <v>4</v>
      </c>
      <c r="C23" s="4">
        <f>9/10</f>
        <v>0.9</v>
      </c>
      <c r="D23" s="4">
        <v>0.97</v>
      </c>
    </row>
    <row r="24" spans="1:4" ht="15.75" customHeight="1">
      <c r="A24" s="45"/>
      <c r="B24" s="12" t="s">
        <v>5</v>
      </c>
      <c r="C24" s="5">
        <f>54/66</f>
        <v>0.81818181818181823</v>
      </c>
      <c r="D24" s="5">
        <v>0.91</v>
      </c>
    </row>
    <row r="25" spans="1:4" ht="15.75" customHeight="1">
      <c r="A25" s="46"/>
      <c r="B25" s="13" t="s">
        <v>6</v>
      </c>
      <c r="C25" s="6">
        <v>0.44740000000000002</v>
      </c>
      <c r="D25" s="6">
        <v>0.65049999999999997</v>
      </c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9"/>
    <mergeCell ref="A10:A17"/>
    <mergeCell ref="A18:A25"/>
  </mergeCells>
  <phoneticPr fontId="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baseColWidth="10" defaultColWidth="11.1640625" defaultRowHeight="15" customHeight="1"/>
  <cols>
    <col min="1" max="26" width="8.33203125" customWidth="1"/>
  </cols>
  <sheetData>
    <row r="1" spans="1:5" ht="15.75" customHeight="1">
      <c r="A1" s="16" t="s">
        <v>15</v>
      </c>
    </row>
    <row r="2" spans="1:5" ht="15.75" customHeight="1">
      <c r="A2" s="17" t="s">
        <v>1</v>
      </c>
      <c r="B2" s="17" t="s">
        <v>16</v>
      </c>
      <c r="C2" s="17" t="s">
        <v>17</v>
      </c>
      <c r="D2" s="17" t="s">
        <v>18</v>
      </c>
      <c r="E2" s="17" t="s">
        <v>19</v>
      </c>
    </row>
    <row r="3" spans="1:5" ht="15.75" customHeight="1">
      <c r="A3" s="18" t="s">
        <v>2</v>
      </c>
      <c r="B3" s="18" t="s">
        <v>20</v>
      </c>
      <c r="C3" s="18" t="s">
        <v>21</v>
      </c>
      <c r="D3" s="18" t="s">
        <v>22</v>
      </c>
      <c r="E3" s="18" t="s">
        <v>23</v>
      </c>
    </row>
    <row r="4" spans="1:5" ht="15.75" customHeight="1">
      <c r="A4" s="19" t="s">
        <v>24</v>
      </c>
      <c r="B4" s="19" t="s">
        <v>25</v>
      </c>
      <c r="C4" s="19" t="s">
        <v>26</v>
      </c>
      <c r="D4" s="19" t="s">
        <v>27</v>
      </c>
      <c r="E4" s="19" t="s">
        <v>28</v>
      </c>
    </row>
    <row r="5" spans="1:5" ht="15.75" customHeight="1">
      <c r="A5" s="19" t="s">
        <v>3</v>
      </c>
      <c r="B5" s="19" t="s">
        <v>29</v>
      </c>
      <c r="C5" s="19" t="s">
        <v>30</v>
      </c>
      <c r="D5" s="19" t="s">
        <v>31</v>
      </c>
      <c r="E5" s="19" t="s">
        <v>32</v>
      </c>
    </row>
    <row r="6" spans="1:5" ht="15.75" customHeight="1">
      <c r="A6" s="19" t="s">
        <v>4</v>
      </c>
      <c r="B6" s="19" t="s">
        <v>33</v>
      </c>
      <c r="C6" s="19" t="s">
        <v>34</v>
      </c>
      <c r="D6" s="19" t="s">
        <v>35</v>
      </c>
      <c r="E6" s="19" t="s">
        <v>36</v>
      </c>
    </row>
    <row r="7" spans="1:5" ht="15.75" customHeight="1">
      <c r="A7" s="20" t="s">
        <v>5</v>
      </c>
      <c r="B7" s="20" t="s">
        <v>37</v>
      </c>
      <c r="C7" s="20" t="s">
        <v>38</v>
      </c>
      <c r="D7" s="20" t="s">
        <v>39</v>
      </c>
      <c r="E7" s="20" t="s">
        <v>23</v>
      </c>
    </row>
    <row r="8" spans="1:5" ht="15.75" customHeight="1"/>
    <row r="9" spans="1:5" ht="15.75" customHeight="1"/>
    <row r="10" spans="1:5" ht="15.75" customHeight="1"/>
    <row r="11" spans="1:5" ht="15.75" customHeight="1"/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sqref="A1:A2"/>
    </sheetView>
  </sheetViews>
  <sheetFormatPr baseColWidth="10" defaultColWidth="11.1640625" defaultRowHeight="15" customHeight="1"/>
  <cols>
    <col min="1" max="26" width="8.33203125" customWidth="1"/>
  </cols>
  <sheetData>
    <row r="1" spans="1:5" ht="15.75" customHeight="1">
      <c r="A1" s="47" t="s">
        <v>1</v>
      </c>
      <c r="B1" s="48" t="s">
        <v>40</v>
      </c>
      <c r="C1" s="49"/>
      <c r="D1" s="48" t="s">
        <v>41</v>
      </c>
      <c r="E1" s="49"/>
    </row>
    <row r="2" spans="1:5" ht="15.75" customHeight="1">
      <c r="A2" s="46"/>
      <c r="B2" s="21" t="s">
        <v>8</v>
      </c>
      <c r="C2" s="22" t="s">
        <v>9</v>
      </c>
      <c r="D2" s="23" t="s">
        <v>8</v>
      </c>
      <c r="E2" s="7" t="s">
        <v>9</v>
      </c>
    </row>
    <row r="3" spans="1:5" ht="15.75" customHeight="1">
      <c r="A3" s="1" t="s">
        <v>11</v>
      </c>
      <c r="B3" s="24">
        <v>0.67859999999999998</v>
      </c>
      <c r="C3" s="25">
        <v>0.81399999999999995</v>
      </c>
      <c r="D3" s="26">
        <v>0.69599999999999995</v>
      </c>
      <c r="E3" s="27">
        <v>0.81100000000000005</v>
      </c>
    </row>
    <row r="4" spans="1:5" ht="15.75" customHeight="1">
      <c r="A4" s="3" t="s">
        <v>12</v>
      </c>
      <c r="B4" s="28">
        <v>0.8</v>
      </c>
      <c r="C4" s="29">
        <v>0.88200000000000001</v>
      </c>
      <c r="D4" s="30">
        <v>0.85</v>
      </c>
      <c r="E4" s="30">
        <v>0.91</v>
      </c>
    </row>
    <row r="5" spans="1:5" ht="15.75" customHeight="1">
      <c r="A5" s="3" t="s">
        <v>42</v>
      </c>
      <c r="B5" s="28">
        <v>0.6</v>
      </c>
      <c r="C5" s="29">
        <v>0.75690000000000002</v>
      </c>
      <c r="D5" s="30">
        <v>0.57499999999999996</v>
      </c>
      <c r="E5" s="30">
        <v>0.72</v>
      </c>
    </row>
    <row r="6" spans="1:5" ht="15.75" customHeight="1">
      <c r="A6" s="3" t="s">
        <v>2</v>
      </c>
      <c r="B6" s="28">
        <v>0.81799999999999995</v>
      </c>
      <c r="C6" s="29">
        <v>0.89100000000000001</v>
      </c>
      <c r="D6" s="30">
        <v>0.93899999999999995</v>
      </c>
      <c r="E6" s="30">
        <v>0.94599999999999995</v>
      </c>
    </row>
    <row r="7" spans="1:5" ht="15.75" customHeight="1">
      <c r="A7" s="3" t="s">
        <v>24</v>
      </c>
      <c r="B7" s="28">
        <v>0.72799999999999998</v>
      </c>
      <c r="C7" s="29">
        <v>0.81499999999999995</v>
      </c>
      <c r="D7" s="30">
        <v>0.628</v>
      </c>
      <c r="E7" s="30">
        <v>0.76900000000000002</v>
      </c>
    </row>
    <row r="8" spans="1:5" ht="15.75" customHeight="1">
      <c r="A8" s="31" t="s">
        <v>4</v>
      </c>
      <c r="B8" s="28">
        <v>0.9</v>
      </c>
      <c r="C8" s="29">
        <v>0.95</v>
      </c>
      <c r="D8" s="30">
        <v>1</v>
      </c>
      <c r="E8" s="30">
        <v>1</v>
      </c>
    </row>
    <row r="9" spans="1:5" ht="15.75" customHeight="1">
      <c r="A9" s="32" t="s">
        <v>5</v>
      </c>
      <c r="B9" s="33">
        <v>0.83299999999999996</v>
      </c>
      <c r="C9" s="34">
        <v>0.91600000000000004</v>
      </c>
      <c r="D9" s="35">
        <v>0.66600000000000004</v>
      </c>
      <c r="E9" s="35">
        <v>0.83299999999999996</v>
      </c>
    </row>
    <row r="10" spans="1:5" ht="15.75" customHeight="1">
      <c r="A10" s="36" t="s">
        <v>6</v>
      </c>
      <c r="B10" s="37">
        <v>0.74570000000000003</v>
      </c>
      <c r="C10" s="38">
        <v>0.84730000000000005</v>
      </c>
      <c r="D10" s="39">
        <v>0.70499999999999996</v>
      </c>
      <c r="E10" s="39">
        <v>0.82199999999999995</v>
      </c>
    </row>
    <row r="11" spans="1:5" ht="15.75" customHeight="1"/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C1"/>
    <mergeCell ref="D1:E1"/>
  </mergeCells>
  <phoneticPr fontId="6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99"/>
  <sheetViews>
    <sheetView tabSelected="1" workbookViewId="0"/>
  </sheetViews>
  <sheetFormatPr baseColWidth="10" defaultColWidth="11.1640625" defaultRowHeight="15" customHeight="1"/>
  <cols>
    <col min="1" max="26" width="8.33203125" customWidth="1"/>
  </cols>
  <sheetData>
    <row r="1" spans="1:4" ht="15.75" customHeight="1">
      <c r="A1" s="9" t="s">
        <v>43</v>
      </c>
      <c r="B1" s="7" t="s">
        <v>44</v>
      </c>
      <c r="C1" s="9" t="s">
        <v>45</v>
      </c>
      <c r="D1" s="9" t="s">
        <v>46</v>
      </c>
    </row>
    <row r="2" spans="1:4" ht="15.75" customHeight="1">
      <c r="A2" s="40">
        <v>1</v>
      </c>
      <c r="B2" s="41">
        <v>40</v>
      </c>
      <c r="C2" s="4">
        <v>0.72499999999999998</v>
      </c>
      <c r="D2" s="4">
        <v>0.83810499999999999</v>
      </c>
    </row>
    <row r="3" spans="1:4" ht="15.75" customHeight="1">
      <c r="A3" s="40">
        <v>2</v>
      </c>
      <c r="B3" s="41">
        <v>51</v>
      </c>
      <c r="C3" s="4">
        <v>0.82352941176470584</v>
      </c>
      <c r="D3" s="4">
        <v>0.87318627450980391</v>
      </c>
    </row>
    <row r="4" spans="1:4" ht="15.75" customHeight="1">
      <c r="A4" s="40">
        <v>3</v>
      </c>
      <c r="B4" s="41">
        <v>87</v>
      </c>
      <c r="C4" s="4">
        <v>0.75862068965517238</v>
      </c>
      <c r="D4" s="4">
        <v>0.8543780459770115</v>
      </c>
    </row>
    <row r="5" spans="1:4" ht="15.75" customHeight="1">
      <c r="A5" s="40">
        <v>4</v>
      </c>
      <c r="B5" s="41">
        <v>50</v>
      </c>
      <c r="C5" s="4">
        <v>0.62</v>
      </c>
      <c r="D5" s="4">
        <v>0.77571400000000001</v>
      </c>
    </row>
    <row r="6" spans="1:4" ht="15.75" customHeight="1">
      <c r="A6" s="40">
        <v>5</v>
      </c>
      <c r="B6" s="41">
        <v>27</v>
      </c>
      <c r="C6" s="4">
        <v>0.7407407407407407</v>
      </c>
      <c r="D6" s="4">
        <v>0.84391481481481478</v>
      </c>
    </row>
    <row r="7" spans="1:4" ht="15.75" customHeight="1">
      <c r="A7" s="40">
        <v>6</v>
      </c>
      <c r="B7" s="41">
        <v>21</v>
      </c>
      <c r="C7" s="4">
        <v>0.95238095238095233</v>
      </c>
      <c r="D7" s="4">
        <v>0.97619047619047616</v>
      </c>
    </row>
    <row r="8" spans="1:4" ht="15.75" customHeight="1">
      <c r="A8" s="40">
        <v>7</v>
      </c>
      <c r="B8" s="41">
        <v>12</v>
      </c>
      <c r="C8" s="4">
        <v>1</v>
      </c>
      <c r="D8" s="4">
        <v>1</v>
      </c>
    </row>
    <row r="9" spans="1:4" ht="15.75" customHeight="1">
      <c r="A9" s="40">
        <v>8</v>
      </c>
      <c r="B9" s="41">
        <v>6</v>
      </c>
      <c r="C9" s="4">
        <v>1</v>
      </c>
      <c r="D9" s="4">
        <v>1</v>
      </c>
    </row>
    <row r="10" spans="1:4" ht="15.75" customHeight="1">
      <c r="A10" s="42">
        <v>9</v>
      </c>
      <c r="B10" s="43">
        <v>1</v>
      </c>
      <c r="C10" s="5">
        <v>1</v>
      </c>
      <c r="D10" s="5">
        <v>1</v>
      </c>
    </row>
    <row r="11" spans="1:4" ht="15.75" customHeight="1"/>
    <row r="12" spans="1:4" ht="15.75" customHeight="1"/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honeticPr fontId="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2022-01-29T10:06:55Z</dcterms:created>
  <dcterms:modified xsi:type="dcterms:W3CDTF">2024-03-03T11:43:18Z</dcterms:modified>
</cp:coreProperties>
</file>